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RINIVAS\Desktop\July Kantar\RAG Projects\eval-results\"/>
    </mc:Choice>
  </mc:AlternateContent>
  <xr:revisionPtr revIDLastSave="0" documentId="13_ncr:1_{8AAB26CF-58DB-485E-B562-76AF35A5DA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periment Log" sheetId="2" r:id="rId1"/>
    <sheet name="Case-Level Tracking" sheetId="3" r:id="rId2"/>
    <sheet name="Golden Test Cases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3" l="1"/>
  <c r="N2" i="2"/>
  <c r="H31" i="3"/>
  <c r="G31" i="3"/>
  <c r="D31" i="3"/>
  <c r="B31" i="3"/>
  <c r="H30" i="3"/>
  <c r="G30" i="3"/>
  <c r="D30" i="3"/>
  <c r="B30" i="3"/>
  <c r="H29" i="3"/>
  <c r="G29" i="3"/>
  <c r="D29" i="3"/>
  <c r="B29" i="3"/>
  <c r="H28" i="3"/>
  <c r="G28" i="3"/>
  <c r="D28" i="3"/>
  <c r="B28" i="3"/>
  <c r="H27" i="3"/>
  <c r="G27" i="3"/>
  <c r="D27" i="3"/>
  <c r="B27" i="3"/>
  <c r="H26" i="3"/>
  <c r="G26" i="3"/>
  <c r="D26" i="3"/>
  <c r="B26" i="3"/>
  <c r="H25" i="3"/>
  <c r="G25" i="3"/>
  <c r="D25" i="3"/>
  <c r="B25" i="3"/>
  <c r="H24" i="3"/>
  <c r="G24" i="3"/>
  <c r="D24" i="3"/>
  <c r="B24" i="3"/>
  <c r="H23" i="3"/>
  <c r="G23" i="3"/>
  <c r="D23" i="3"/>
  <c r="B23" i="3"/>
  <c r="H22" i="3"/>
  <c r="G22" i="3"/>
  <c r="D22" i="3"/>
  <c r="B22" i="3"/>
  <c r="H21" i="3"/>
  <c r="G21" i="3"/>
  <c r="D21" i="3"/>
  <c r="B21" i="3"/>
  <c r="H20" i="3"/>
  <c r="G20" i="3"/>
  <c r="D20" i="3"/>
  <c r="B20" i="3"/>
  <c r="H19" i="3"/>
  <c r="G19" i="3"/>
  <c r="D19" i="3"/>
  <c r="B19" i="3"/>
  <c r="H18" i="3"/>
  <c r="G18" i="3"/>
  <c r="D18" i="3"/>
  <c r="B18" i="3"/>
  <c r="H17" i="3"/>
  <c r="G17" i="3"/>
  <c r="D17" i="3"/>
  <c r="B17" i="3"/>
  <c r="H16" i="3"/>
  <c r="G16" i="3"/>
  <c r="D16" i="3"/>
  <c r="B16" i="3"/>
  <c r="H15" i="3"/>
  <c r="G15" i="3"/>
  <c r="D15" i="3"/>
  <c r="B15" i="3"/>
  <c r="H14" i="3"/>
  <c r="G14" i="3"/>
  <c r="D14" i="3"/>
  <c r="B14" i="3"/>
  <c r="H13" i="3"/>
  <c r="G13" i="3"/>
  <c r="D13" i="3"/>
  <c r="B13" i="3"/>
  <c r="H12" i="3"/>
  <c r="G12" i="3"/>
  <c r="D12" i="3"/>
  <c r="B12" i="3"/>
  <c r="H11" i="3"/>
  <c r="G11" i="3"/>
  <c r="D11" i="3"/>
  <c r="B11" i="3"/>
  <c r="H10" i="3"/>
  <c r="G10" i="3"/>
  <c r="D10" i="3"/>
  <c r="B10" i="3"/>
  <c r="H9" i="3"/>
  <c r="G9" i="3"/>
  <c r="D9" i="3"/>
  <c r="B9" i="3"/>
  <c r="H8" i="3"/>
  <c r="G8" i="3"/>
  <c r="D8" i="3"/>
  <c r="B8" i="3"/>
  <c r="H7" i="3"/>
  <c r="G7" i="3"/>
  <c r="D7" i="3"/>
  <c r="B7" i="3"/>
  <c r="H6" i="3"/>
  <c r="G6" i="3"/>
  <c r="D6" i="3"/>
  <c r="B6" i="3"/>
  <c r="H5" i="3"/>
  <c r="G5" i="3"/>
  <c r="D5" i="3"/>
  <c r="B5" i="3"/>
  <c r="D4" i="3"/>
  <c r="B4" i="3"/>
  <c r="H3" i="3"/>
  <c r="G3" i="3"/>
  <c r="D3" i="3"/>
  <c r="B3" i="3"/>
  <c r="H2" i="3"/>
  <c r="D2" i="3"/>
  <c r="B2" i="3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</calcChain>
</file>

<file path=xl/sharedStrings.xml><?xml version="1.0" encoding="utf-8"?>
<sst xmlns="http://schemas.openxmlformats.org/spreadsheetml/2006/main" count="83" uniqueCount="71">
  <si>
    <t>Experiment ID</t>
  </si>
  <si>
    <t>Experiment Name</t>
  </si>
  <si>
    <t>Category</t>
  </si>
  <si>
    <t>Config / Description</t>
  </si>
  <si>
    <t>Date Tested</t>
  </si>
  <si>
    <t>Target
Contextual Recall</t>
  </si>
  <si>
    <t>Target
Contextual Precision</t>
  </si>
  <si>
    <t>Target
Recall Pass Rate</t>
  </si>
  <si>
    <t>Target
Precision Pass Rate</t>
  </si>
  <si>
    <t>Measured
Contextual Recall</t>
  </si>
  <si>
    <t>Measured
Contextual Precision</t>
  </si>
  <si>
    <t>Measured
Recall Pass Rate</t>
  </si>
  <si>
    <t>Measured
Precision Pass Rate</t>
  </si>
  <si>
    <t>Recall Target
Met?</t>
  </si>
  <si>
    <t>Precision Target
Met?</t>
  </si>
  <si>
    <t>Notes / Hypothesis</t>
  </si>
  <si>
    <t>EXP-01</t>
  </si>
  <si>
    <t>Baseline - Vector Search Only</t>
  </si>
  <si>
    <t>Baseline</t>
  </si>
  <si>
    <t>Query -&gt; dense vector search -&gt; top-K (k=5)</t>
  </si>
  <si>
    <t>EXP-02</t>
  </si>
  <si>
    <t>Hybrid + Reranker (MiniLM)</t>
  </si>
  <si>
    <t>Hybrid</t>
  </si>
  <si>
    <t>Dense+BM25 -&gt; RRF (0.5/0.5) -&gt; cross-encoder rerank (ms-marco-MiniLM-L-6-v2), top_k*4 candidates -&gt; top-5</t>
  </si>
  <si>
    <t>Underperforms baseline. Case 25: reranker promotes irrelevant nodes (e.g. trip cancellation) over relevant ones.</t>
  </si>
  <si>
    <t>EXP-03</t>
  </si>
  <si>
    <t>Chunk size / tokenizer audit</t>
  </si>
  <si>
    <t>Diagnostic</t>
  </si>
  <si>
    <t>Verify chunk_size=1000 is characters not tokens; confirm no chunk exceeds reranker's max sequence length</t>
  </si>
  <si>
    <t>Diagnostic only - run before further reranker changes.</t>
  </si>
  <si>
    <t>EXP-04</t>
  </si>
  <si>
    <t>Reranker swap</t>
  </si>
  <si>
    <t>Reranker</t>
  </si>
  <si>
    <t>EXP-05</t>
  </si>
  <si>
    <t>RRF weight sweep</t>
  </si>
  <si>
    <t>Fusion</t>
  </si>
  <si>
    <t>Dense-favored fusion weights (e.g. 0.7 dense / 0.3 BM25), original MiniLM reranker</t>
  </si>
  <si>
    <t>EXP-06</t>
  </si>
  <si>
    <t>Vector search, top_k=10</t>
  </si>
  <si>
    <t>Retrieval Strategy</t>
  </si>
  <si>
    <t>Same baseline pipeline as EXP-01, top_k raised from 5 to 10</t>
  </si>
  <si>
    <t>EXP-07</t>
  </si>
  <si>
    <t>Section-aware / parent-child chunking</t>
  </si>
  <si>
    <t>Chunking</t>
  </si>
  <si>
    <t>Preserve document section boundaries during chunking; verify add-on clauses aren't split awkwardly</t>
  </si>
  <si>
    <t>EXP-08</t>
  </si>
  <si>
    <t>Multi-query decomposition</t>
  </si>
  <si>
    <t>Decompose multi-section questions into sub-queries, retrieve per sub-query, merge results</t>
  </si>
  <si>
    <t>Case ID</t>
  </si>
  <si>
    <t>Question</t>
  </si>
  <si>
    <t>Contextual Recall</t>
  </si>
  <si>
    <t>Contextual Precision</t>
  </si>
  <si>
    <t>Recall Pass?</t>
  </si>
  <si>
    <t>Precision Pass?</t>
  </si>
  <si>
    <t>Notes</t>
  </si>
  <si>
    <t>Retrieved nodes highly relevant but missed some required multi-section content.</t>
  </si>
  <si>
    <t>Relevant suicide-related nodes retrieved but ranked below irrelevant nodes (e.g. trip cancellation).</t>
  </si>
  <si>
    <t>Policy Type</t>
  </si>
  <si>
    <t>Multi-Section?</t>
  </si>
  <si>
    <t>Expected Answer Summary</t>
  </si>
  <si>
    <t>If a policyholder dies by suicide during an overseas trip, will their family receive any payout?</t>
  </si>
  <si>
    <t>travel</t>
  </si>
  <si>
    <t>Y</t>
  </si>
  <si>
    <t>Suicide/self-inflicted injury exclusion under Sections 1, 2 and 3; excludes Medical Expenses, Medical Evacuation, Repatriation and Personal Accident benefits; optional Section 26 - Suicide add-on cover with a possible one-time payment; student-plan availability, additional premium, 6-month waiting period.</t>
  </si>
  <si>
    <t>Example row - reference case from initial eval.</t>
  </si>
  <si>
    <t>Overall Pass Rate</t>
  </si>
  <si>
    <t>Overall Pass Rate Met?</t>
  </si>
  <si>
    <t>FAIL</t>
  </si>
  <si>
    <t>PASS</t>
  </si>
  <si>
    <t>Current best baseline.</t>
  </si>
  <si>
    <t>Replace ms-marco-MiniLM-L-6-v2 with bge-reranker-v2-m3, RRF 0.6/0.4, top_k=10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</si>
</sst>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0070C0"/>
        <bgColor rgb="FF00336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3" fillId="0" borderId="1" xfId="0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6" customWidth="1"/>
    <col min="4" max="4" width="42" customWidth="1"/>
    <col min="5" max="5" width="12" customWidth="1"/>
    <col min="6" max="6" width="15" customWidth="1"/>
    <col min="7" max="7" width="17.6640625" customWidth="1"/>
    <col min="8" max="17" width="12" customWidth="1"/>
    <col min="18" max="18" width="42" customWidth="1"/>
  </cols>
  <sheetData>
    <row r="1" spans="1:18" ht="58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7" t="s">
        <v>5</v>
      </c>
      <c r="G1" s="2" t="s">
        <v>6</v>
      </c>
      <c r="H1" s="17" t="s">
        <v>7</v>
      </c>
      <c r="I1" s="2" t="s">
        <v>8</v>
      </c>
      <c r="J1" s="17" t="s">
        <v>9</v>
      </c>
      <c r="K1" s="2" t="s">
        <v>10</v>
      </c>
      <c r="L1" s="17" t="s">
        <v>11</v>
      </c>
      <c r="M1" s="2" t="s">
        <v>12</v>
      </c>
      <c r="N1" s="17" t="s">
        <v>13</v>
      </c>
      <c r="O1" s="2" t="s">
        <v>14</v>
      </c>
      <c r="P1" s="2" t="s">
        <v>65</v>
      </c>
      <c r="Q1" s="2" t="s">
        <v>66</v>
      </c>
      <c r="R1" s="2" t="s">
        <v>15</v>
      </c>
    </row>
    <row r="2" spans="1:18" x14ac:dyDescent="0.3">
      <c r="A2" s="3" t="s">
        <v>16</v>
      </c>
      <c r="B2" s="3" t="s">
        <v>17</v>
      </c>
      <c r="C2" s="3" t="s">
        <v>18</v>
      </c>
      <c r="D2" s="4" t="s">
        <v>19</v>
      </c>
      <c r="E2" s="3"/>
      <c r="F2" s="5">
        <v>0.85</v>
      </c>
      <c r="G2" s="5">
        <v>0.8</v>
      </c>
      <c r="H2" s="6">
        <v>0.85</v>
      </c>
      <c r="I2" s="6">
        <v>0.8</v>
      </c>
      <c r="J2" s="5">
        <v>0.88</v>
      </c>
      <c r="K2" s="5">
        <v>0.78</v>
      </c>
      <c r="L2" s="6">
        <v>0.82499999999999996</v>
      </c>
      <c r="M2" s="6">
        <v>0.85</v>
      </c>
      <c r="N2" s="7" t="str">
        <f t="shared" ref="N2:N15" si="0">IF(OR(F2="",J2=""),"",IF(J2&gt;=F2,"PASS","FAIL"))</f>
        <v>PASS</v>
      </c>
      <c r="O2" s="7" t="str">
        <f t="shared" ref="O2:O15" si="1">IF(OR(G2="",K2=""),"",IF(K2&gt;=G2,"PASS","FAIL"))</f>
        <v>FAIL</v>
      </c>
      <c r="P2" s="18">
        <v>0.7</v>
      </c>
      <c r="Q2" s="7" t="s">
        <v>67</v>
      </c>
      <c r="R2" s="8" t="s">
        <v>69</v>
      </c>
    </row>
    <row r="3" spans="1:18" ht="39.6" x14ac:dyDescent="0.3">
      <c r="A3" s="3" t="s">
        <v>20</v>
      </c>
      <c r="B3" s="3" t="s">
        <v>21</v>
      </c>
      <c r="C3" s="3" t="s">
        <v>22</v>
      </c>
      <c r="D3" s="4" t="s">
        <v>23</v>
      </c>
      <c r="E3" s="3"/>
      <c r="F3" s="5">
        <v>0.85</v>
      </c>
      <c r="G3" s="5">
        <v>0.8</v>
      </c>
      <c r="H3" s="6">
        <v>0.85</v>
      </c>
      <c r="I3" s="6">
        <v>0.8</v>
      </c>
      <c r="J3" s="5">
        <v>0.85</v>
      </c>
      <c r="K3" s="5">
        <v>0.81</v>
      </c>
      <c r="L3" s="6">
        <v>0.82499999999999996</v>
      </c>
      <c r="M3" s="6">
        <v>0.8</v>
      </c>
      <c r="N3" s="7" t="str">
        <f t="shared" si="0"/>
        <v>PASS</v>
      </c>
      <c r="O3" s="7" t="str">
        <f t="shared" si="1"/>
        <v>PASS</v>
      </c>
      <c r="P3" s="7"/>
      <c r="Q3" s="7"/>
      <c r="R3" s="8" t="s">
        <v>24</v>
      </c>
    </row>
    <row r="4" spans="1:18" ht="39.6" x14ac:dyDescent="0.3">
      <c r="A4" s="3" t="s">
        <v>25</v>
      </c>
      <c r="B4" s="3" t="s">
        <v>26</v>
      </c>
      <c r="C4" s="3" t="s">
        <v>27</v>
      </c>
      <c r="D4" s="4" t="s">
        <v>28</v>
      </c>
      <c r="E4" s="3"/>
      <c r="F4" s="5">
        <v>0.85</v>
      </c>
      <c r="G4" s="5">
        <v>0.8</v>
      </c>
      <c r="H4" s="6">
        <v>0.85</v>
      </c>
      <c r="I4" s="6">
        <v>0.8</v>
      </c>
      <c r="J4" s="5"/>
      <c r="K4" s="5"/>
      <c r="L4" s="6"/>
      <c r="M4" s="6"/>
      <c r="N4" s="7" t="str">
        <f t="shared" si="0"/>
        <v/>
      </c>
      <c r="O4" s="7" t="str">
        <f t="shared" si="1"/>
        <v/>
      </c>
      <c r="P4" s="7"/>
      <c r="Q4" s="7"/>
      <c r="R4" s="8" t="s">
        <v>29</v>
      </c>
    </row>
    <row r="5" spans="1:18" s="27" customFormat="1" ht="26.4" x14ac:dyDescent="0.3">
      <c r="A5" s="20" t="s">
        <v>30</v>
      </c>
      <c r="B5" s="20" t="s">
        <v>31</v>
      </c>
      <c r="C5" s="20" t="s">
        <v>32</v>
      </c>
      <c r="D5" s="21" t="s">
        <v>70</v>
      </c>
      <c r="E5" s="20"/>
      <c r="F5" s="22">
        <v>0.85</v>
      </c>
      <c r="G5" s="22">
        <v>0.8</v>
      </c>
      <c r="H5" s="23">
        <v>0.85</v>
      </c>
      <c r="I5" s="23">
        <v>0.8</v>
      </c>
      <c r="J5" s="22">
        <v>0.98</v>
      </c>
      <c r="K5" s="22">
        <v>0.9</v>
      </c>
      <c r="L5" s="23">
        <v>0.95</v>
      </c>
      <c r="M5" s="23">
        <v>0.97499999999999998</v>
      </c>
      <c r="N5" s="24" t="str">
        <f t="shared" si="0"/>
        <v>PASS</v>
      </c>
      <c r="O5" s="24" t="str">
        <f t="shared" si="1"/>
        <v>PASS</v>
      </c>
      <c r="P5" s="25">
        <v>0.92500000000000004</v>
      </c>
      <c r="Q5" s="24" t="s">
        <v>68</v>
      </c>
      <c r="R5" s="26"/>
    </row>
    <row r="6" spans="1:18" ht="26.4" x14ac:dyDescent="0.3">
      <c r="A6" s="3" t="s">
        <v>33</v>
      </c>
      <c r="B6" s="3" t="s">
        <v>34</v>
      </c>
      <c r="C6" s="3" t="s">
        <v>35</v>
      </c>
      <c r="D6" s="4" t="s">
        <v>36</v>
      </c>
      <c r="E6" s="3"/>
      <c r="F6" s="5">
        <v>0.85</v>
      </c>
      <c r="G6" s="5">
        <v>0.8</v>
      </c>
      <c r="H6" s="6">
        <v>0.85</v>
      </c>
      <c r="I6" s="6">
        <v>0.8</v>
      </c>
      <c r="J6" s="5"/>
      <c r="K6" s="5"/>
      <c r="L6" s="6"/>
      <c r="M6" s="6"/>
      <c r="N6" s="7" t="str">
        <f t="shared" si="0"/>
        <v/>
      </c>
      <c r="O6" s="7" t="str">
        <f t="shared" si="1"/>
        <v/>
      </c>
      <c r="P6" s="7"/>
      <c r="Q6" s="7"/>
      <c r="R6" s="8"/>
    </row>
    <row r="7" spans="1:18" ht="26.4" x14ac:dyDescent="0.3">
      <c r="A7" s="3" t="s">
        <v>37</v>
      </c>
      <c r="B7" s="3" t="s">
        <v>38</v>
      </c>
      <c r="C7" s="3" t="s">
        <v>39</v>
      </c>
      <c r="D7" s="4" t="s">
        <v>40</v>
      </c>
      <c r="E7" s="3"/>
      <c r="F7" s="5">
        <v>0.85</v>
      </c>
      <c r="G7" s="5">
        <v>0.8</v>
      </c>
      <c r="H7" s="6">
        <v>0.85</v>
      </c>
      <c r="I7" s="6">
        <v>0.8</v>
      </c>
      <c r="J7" s="5">
        <v>0.9</v>
      </c>
      <c r="K7" s="5">
        <v>0.76</v>
      </c>
      <c r="L7" s="6">
        <v>0.82499999999999996</v>
      </c>
      <c r="M7" s="6">
        <v>0.82499999999999996</v>
      </c>
      <c r="N7" s="7" t="str">
        <f t="shared" si="0"/>
        <v>PASS</v>
      </c>
      <c r="O7" s="7" t="str">
        <f t="shared" si="1"/>
        <v>FAIL</v>
      </c>
      <c r="P7" s="19">
        <v>0.67500000000000004</v>
      </c>
      <c r="Q7" s="7" t="s">
        <v>67</v>
      </c>
      <c r="R7" s="8"/>
    </row>
    <row r="8" spans="1:18" ht="39.6" x14ac:dyDescent="0.3">
      <c r="A8" s="3" t="s">
        <v>41</v>
      </c>
      <c r="B8" s="3" t="s">
        <v>42</v>
      </c>
      <c r="C8" s="3" t="s">
        <v>43</v>
      </c>
      <c r="D8" s="4" t="s">
        <v>44</v>
      </c>
      <c r="E8" s="3"/>
      <c r="F8" s="5">
        <v>0.85</v>
      </c>
      <c r="G8" s="5">
        <v>0.8</v>
      </c>
      <c r="H8" s="6">
        <v>0.85</v>
      </c>
      <c r="I8" s="6">
        <v>0.8</v>
      </c>
      <c r="J8" s="5"/>
      <c r="K8" s="5"/>
      <c r="L8" s="6"/>
      <c r="M8" s="6"/>
      <c r="N8" s="7" t="str">
        <f t="shared" si="0"/>
        <v/>
      </c>
      <c r="O8" s="7" t="str">
        <f t="shared" si="1"/>
        <v/>
      </c>
      <c r="P8" s="7"/>
      <c r="Q8" s="7"/>
      <c r="R8" s="8"/>
    </row>
    <row r="9" spans="1:18" ht="26.4" x14ac:dyDescent="0.3">
      <c r="A9" s="3" t="s">
        <v>45</v>
      </c>
      <c r="B9" s="3" t="s">
        <v>46</v>
      </c>
      <c r="C9" s="3" t="s">
        <v>39</v>
      </c>
      <c r="D9" s="4" t="s">
        <v>47</v>
      </c>
      <c r="E9" s="3"/>
      <c r="F9" s="5">
        <v>0.85</v>
      </c>
      <c r="G9" s="5">
        <v>0.8</v>
      </c>
      <c r="H9" s="6">
        <v>0.85</v>
      </c>
      <c r="I9" s="6">
        <v>0.8</v>
      </c>
      <c r="J9" s="5"/>
      <c r="K9" s="5"/>
      <c r="L9" s="6"/>
      <c r="M9" s="6"/>
      <c r="N9" s="7" t="str">
        <f t="shared" si="0"/>
        <v/>
      </c>
      <c r="O9" s="7" t="str">
        <f t="shared" si="1"/>
        <v/>
      </c>
      <c r="P9" s="7"/>
      <c r="Q9" s="7"/>
      <c r="R9" s="8"/>
    </row>
    <row r="10" spans="1:18" x14ac:dyDescent="0.3">
      <c r="A10" s="9"/>
      <c r="B10" s="9"/>
      <c r="C10" s="9"/>
      <c r="D10" s="9"/>
      <c r="E10" s="9"/>
      <c r="F10" s="1"/>
      <c r="G10" s="1"/>
      <c r="H10" s="10"/>
      <c r="I10" s="10"/>
      <c r="J10" s="1"/>
      <c r="K10" s="1"/>
      <c r="L10" s="10"/>
      <c r="M10" s="10"/>
      <c r="N10" s="7" t="str">
        <f t="shared" si="0"/>
        <v/>
      </c>
      <c r="O10" s="7" t="str">
        <f t="shared" si="1"/>
        <v/>
      </c>
      <c r="P10" s="7"/>
      <c r="Q10" s="7"/>
      <c r="R10" s="9"/>
    </row>
    <row r="11" spans="1:18" x14ac:dyDescent="0.3">
      <c r="A11" s="9"/>
      <c r="B11" s="9"/>
      <c r="C11" s="9"/>
      <c r="D11" s="9"/>
      <c r="E11" s="9"/>
      <c r="F11" s="1"/>
      <c r="G11" s="1"/>
      <c r="H11" s="10"/>
      <c r="I11" s="10"/>
      <c r="J11" s="1"/>
      <c r="K11" s="1"/>
      <c r="L11" s="10"/>
      <c r="M11" s="10"/>
      <c r="N11" s="7" t="str">
        <f t="shared" si="0"/>
        <v/>
      </c>
      <c r="O11" s="7" t="str">
        <f t="shared" si="1"/>
        <v/>
      </c>
      <c r="P11" s="7"/>
      <c r="Q11" s="7"/>
      <c r="R11" s="9"/>
    </row>
    <row r="12" spans="1:18" x14ac:dyDescent="0.3">
      <c r="A12" s="9"/>
      <c r="B12" s="9"/>
      <c r="C12" s="9"/>
      <c r="D12" s="9"/>
      <c r="E12" s="9"/>
      <c r="F12" s="1"/>
      <c r="G12" s="1"/>
      <c r="H12" s="10"/>
      <c r="I12" s="10"/>
      <c r="J12" s="1"/>
      <c r="K12" s="1"/>
      <c r="L12" s="10"/>
      <c r="M12" s="10"/>
      <c r="N12" s="7" t="str">
        <f t="shared" si="0"/>
        <v/>
      </c>
      <c r="O12" s="7" t="str">
        <f t="shared" si="1"/>
        <v/>
      </c>
      <c r="P12" s="7"/>
      <c r="Q12" s="7"/>
      <c r="R12" s="9"/>
    </row>
    <row r="13" spans="1:18" x14ac:dyDescent="0.3">
      <c r="A13" s="9"/>
      <c r="B13" s="9"/>
      <c r="C13" s="9"/>
      <c r="D13" s="9"/>
      <c r="E13" s="9"/>
      <c r="F13" s="1"/>
      <c r="G13" s="1"/>
      <c r="H13" s="10"/>
      <c r="I13" s="10"/>
      <c r="J13" s="1"/>
      <c r="K13" s="1"/>
      <c r="L13" s="10"/>
      <c r="M13" s="10"/>
      <c r="N13" s="7" t="str">
        <f t="shared" si="0"/>
        <v/>
      </c>
      <c r="O13" s="7" t="str">
        <f t="shared" si="1"/>
        <v/>
      </c>
      <c r="P13" s="7"/>
      <c r="Q13" s="7"/>
      <c r="R13" s="9"/>
    </row>
    <row r="14" spans="1:18" x14ac:dyDescent="0.3">
      <c r="A14" s="9"/>
      <c r="B14" s="9"/>
      <c r="C14" s="9"/>
      <c r="D14" s="9"/>
      <c r="E14" s="9"/>
      <c r="F14" s="1"/>
      <c r="G14" s="1"/>
      <c r="H14" s="10"/>
      <c r="I14" s="10"/>
      <c r="J14" s="1"/>
      <c r="K14" s="1"/>
      <c r="L14" s="10"/>
      <c r="M14" s="10"/>
      <c r="N14" s="7" t="str">
        <f t="shared" si="0"/>
        <v/>
      </c>
      <c r="O14" s="7" t="str">
        <f t="shared" si="1"/>
        <v/>
      </c>
      <c r="P14" s="7"/>
      <c r="Q14" s="7"/>
      <c r="R14" s="9"/>
    </row>
    <row r="15" spans="1:18" x14ac:dyDescent="0.3">
      <c r="A15" s="9"/>
      <c r="B15" s="9"/>
      <c r="C15" s="9"/>
      <c r="D15" s="9"/>
      <c r="E15" s="9"/>
      <c r="F15" s="1"/>
      <c r="G15" s="1"/>
      <c r="H15" s="10"/>
      <c r="I15" s="10"/>
      <c r="J15" s="1"/>
      <c r="K15" s="1"/>
      <c r="L15" s="10"/>
      <c r="M15" s="10"/>
      <c r="N15" s="7" t="str">
        <f t="shared" si="0"/>
        <v/>
      </c>
      <c r="O15" s="7" t="str">
        <f t="shared" si="1"/>
        <v/>
      </c>
      <c r="P15" s="7"/>
      <c r="Q15" s="7"/>
      <c r="R15" s="9"/>
    </row>
  </sheetData>
  <conditionalFormatting sqref="N2:Q15">
    <cfRule type="cellIs" dxfId="3" priority="2" operator="equal">
      <formula>"PASS"</formula>
    </cfRule>
    <cfRule type="cellIs" dxfId="2" priority="3" operator="equal">
      <formula>"FAIL"</formula>
    </cfRule>
  </conditionalFormatting>
  <dataValidations count="1">
    <dataValidation type="list" allowBlank="1" sqref="C2:C15" xr:uid="{00000000-0002-0000-0100-000000000000}">
      <formula1>"Baseline,Hybrid,Reranker,Fusion,Chunking,Retrieval Strategy,Diagnostic"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Normal="100" workbookViewId="0">
      <pane ySplit="1" topLeftCell="A2" activePane="bottomLeft" state="frozen"/>
      <selection pane="bottomLeft" activeCell="H5" sqref="H5"/>
    </sheetView>
  </sheetViews>
  <sheetFormatPr defaultColWidth="8.6640625" defaultRowHeight="14.4" x14ac:dyDescent="0.3"/>
  <cols>
    <col min="1" max="1" width="14" customWidth="1"/>
    <col min="2" max="2" width="28" customWidth="1"/>
    <col min="3" max="3" width="9" customWidth="1"/>
    <col min="4" max="4" width="46" customWidth="1"/>
    <col min="5" max="6" width="14" customWidth="1"/>
    <col min="7" max="8" width="12" customWidth="1"/>
    <col min="9" max="9" width="42" customWidth="1"/>
  </cols>
  <sheetData>
    <row r="1" spans="1:9" ht="25.5" customHeight="1" x14ac:dyDescent="0.3">
      <c r="A1" s="2" t="s">
        <v>0</v>
      </c>
      <c r="B1" s="2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</row>
    <row r="2" spans="1:9" ht="26.4" x14ac:dyDescent="0.3">
      <c r="A2" s="11" t="s">
        <v>16</v>
      </c>
      <c r="B2" s="12" t="str">
        <f>IFERROR(INDEX('Experiment Log'!$B$2:$B$15,MATCH(A2,'Experiment Log'!$A$2:$A$15,0)),"")</f>
        <v>Baseline - Vector Search Only</v>
      </c>
      <c r="C2" s="11">
        <v>25</v>
      </c>
      <c r="D2" s="12" t="str">
        <f>IFERROR(INDEX('Golden Test Cases'!$B$2:$B$41,MATCH(C2,'Golden Test Cases'!$A$2:$A$41,0)),"")</f>
        <v>If a policyholder dies by suicide during an overseas trip, will their family receive any payout?</v>
      </c>
      <c r="E2" s="1">
        <v>0.62</v>
      </c>
      <c r="F2" s="1">
        <v>1</v>
      </c>
      <c r="G2" s="7" t="e">
        <f>IF(E2="","",IF(E2&gt;=#REF!,"PASS","FAIL"))</f>
        <v>#REF!</v>
      </c>
      <c r="H2" s="7" t="e">
        <f>IF(F2="","",IF(F2&gt;=#REF!,"PASS","FAIL"))</f>
        <v>#REF!</v>
      </c>
      <c r="I2" s="8" t="s">
        <v>55</v>
      </c>
    </row>
    <row r="3" spans="1:9" ht="26.4" x14ac:dyDescent="0.3">
      <c r="A3" s="11" t="s">
        <v>20</v>
      </c>
      <c r="B3" s="12" t="str">
        <f>IFERROR(INDEX('Experiment Log'!$B$2:$B$15,MATCH(A3,'Experiment Log'!$A$2:$A$15,0)),"")</f>
        <v>Hybrid + Reranker (MiniLM)</v>
      </c>
      <c r="C3" s="11">
        <v>25</v>
      </c>
      <c r="D3" s="12" t="str">
        <f>IFERROR(INDEX('Golden Test Cases'!$B$2:$B$41,MATCH(C3,'Golden Test Cases'!$A$2:$A$41,0)),"")</f>
        <v>If a policyholder dies by suicide during an overseas trip, will their family receive any payout?</v>
      </c>
      <c r="E3" s="1">
        <v>0.38</v>
      </c>
      <c r="F3" s="1">
        <v>0.45</v>
      </c>
      <c r="G3" s="7" t="e">
        <f>IF(E3="","",IF(E3&gt;=#REF!,"PASS","FAIL"))</f>
        <v>#REF!</v>
      </c>
      <c r="H3" s="7" t="e">
        <f>IF(F3="","",IF(F3&gt;=#REF!,"PASS","FAIL"))</f>
        <v>#REF!</v>
      </c>
      <c r="I3" s="8" t="s">
        <v>56</v>
      </c>
    </row>
    <row r="4" spans="1:9" x14ac:dyDescent="0.3">
      <c r="A4" s="11" t="s">
        <v>37</v>
      </c>
      <c r="B4" s="13" t="str">
        <f>IFERROR(INDEX('Experiment Log'!$B$2:$B$15,MATCH(A4,'Experiment Log'!$A$2:$A$15,0)),"")</f>
        <v>Vector search, top_k=10</v>
      </c>
      <c r="C4" s="11">
        <v>25</v>
      </c>
      <c r="D4" s="13" t="str">
        <f>IFERROR(INDEX('Golden Test Cases'!$B$2:$B$41,MATCH(C4,'Golden Test Cases'!$A$2:$A$41,0)),"")</f>
        <v>If a policyholder dies by suicide during an overseas trip, will their family receive any payout?</v>
      </c>
      <c r="E4" s="1"/>
      <c r="F4" s="1"/>
      <c r="G4" s="7" t="s">
        <v>68</v>
      </c>
      <c r="H4" s="7" t="s">
        <v>68</v>
      </c>
      <c r="I4" s="11"/>
    </row>
    <row r="5" spans="1:9" x14ac:dyDescent="0.3">
      <c r="A5" s="11"/>
      <c r="B5" s="13" t="str">
        <f>IFERROR(INDEX('Experiment Log'!$B$2:$B$15,MATCH(A5,'Experiment Log'!$A$2:$A$15,0)),"")</f>
        <v/>
      </c>
      <c r="C5" s="11"/>
      <c r="D5" s="13" t="str">
        <f>IFERROR(INDEX('Golden Test Cases'!$B$2:$B$41,MATCH(C5,'Golden Test Cases'!$A$2:$A$41,0)),"")</f>
        <v/>
      </c>
      <c r="E5" s="1"/>
      <c r="F5" s="1"/>
      <c r="G5" s="7" t="str">
        <f>IF(E5="","",IF(E5&gt;=#REF!,"PASS","FAIL"))</f>
        <v/>
      </c>
      <c r="H5" s="7" t="str">
        <f>IF(F5="","",IF(F5&gt;=#REF!,"PASS","FAIL"))</f>
        <v/>
      </c>
      <c r="I5" s="11"/>
    </row>
    <row r="6" spans="1:9" x14ac:dyDescent="0.3">
      <c r="A6" s="11"/>
      <c r="B6" s="13" t="str">
        <f>IFERROR(INDEX('Experiment Log'!$B$2:$B$15,MATCH(A6,'Experiment Log'!$A$2:$A$15,0)),"")</f>
        <v/>
      </c>
      <c r="C6" s="11"/>
      <c r="D6" s="13" t="str">
        <f>IFERROR(INDEX('Golden Test Cases'!$B$2:$B$41,MATCH(C6,'Golden Test Cases'!$A$2:$A$41,0)),"")</f>
        <v/>
      </c>
      <c r="E6" s="1"/>
      <c r="F6" s="1"/>
      <c r="G6" s="7" t="str">
        <f>IF(E6="","",IF(E6&gt;=#REF!,"PASS","FAIL"))</f>
        <v/>
      </c>
      <c r="H6" s="7" t="str">
        <f>IF(F6="","",IF(F6&gt;=#REF!,"PASS","FAIL"))</f>
        <v/>
      </c>
      <c r="I6" s="11"/>
    </row>
    <row r="7" spans="1:9" x14ac:dyDescent="0.3">
      <c r="A7" s="11"/>
      <c r="B7" s="13" t="str">
        <f>IFERROR(INDEX('Experiment Log'!$B$2:$B$15,MATCH(A7,'Experiment Log'!$A$2:$A$15,0)),"")</f>
        <v/>
      </c>
      <c r="C7" s="11"/>
      <c r="D7" s="13" t="str">
        <f>IFERROR(INDEX('Golden Test Cases'!$B$2:$B$41,MATCH(C7,'Golden Test Cases'!$A$2:$A$41,0)),"")</f>
        <v/>
      </c>
      <c r="E7" s="1"/>
      <c r="F7" s="1"/>
      <c r="G7" s="7" t="str">
        <f>IF(E7="","",IF(E7&gt;=#REF!,"PASS","FAIL"))</f>
        <v/>
      </c>
      <c r="H7" s="7" t="str">
        <f>IF(F7="","",IF(F7&gt;=#REF!,"PASS","FAIL"))</f>
        <v/>
      </c>
      <c r="I7" s="11"/>
    </row>
    <row r="8" spans="1:9" x14ac:dyDescent="0.3">
      <c r="A8" s="11"/>
      <c r="B8" s="13" t="str">
        <f>IFERROR(INDEX('Experiment Log'!$B$2:$B$15,MATCH(A8,'Experiment Log'!$A$2:$A$15,0)),"")</f>
        <v/>
      </c>
      <c r="C8" s="11"/>
      <c r="D8" s="13" t="str">
        <f>IFERROR(INDEX('Golden Test Cases'!$B$2:$B$41,MATCH(C8,'Golden Test Cases'!$A$2:$A$41,0)),"")</f>
        <v/>
      </c>
      <c r="E8" s="1"/>
      <c r="F8" s="1"/>
      <c r="G8" s="7" t="str">
        <f>IF(E8="","",IF(E8&gt;=#REF!,"PASS","FAIL"))</f>
        <v/>
      </c>
      <c r="H8" s="7" t="str">
        <f>IF(F8="","",IF(F8&gt;=#REF!,"PASS","FAIL"))</f>
        <v/>
      </c>
      <c r="I8" s="11"/>
    </row>
    <row r="9" spans="1:9" x14ac:dyDescent="0.3">
      <c r="A9" s="11"/>
      <c r="B9" s="13" t="str">
        <f>IFERROR(INDEX('Experiment Log'!$B$2:$B$15,MATCH(A9,'Experiment Log'!$A$2:$A$15,0)),"")</f>
        <v/>
      </c>
      <c r="C9" s="11"/>
      <c r="D9" s="13" t="str">
        <f>IFERROR(INDEX('Golden Test Cases'!$B$2:$B$41,MATCH(C9,'Golden Test Cases'!$A$2:$A$41,0)),"")</f>
        <v/>
      </c>
      <c r="E9" s="1"/>
      <c r="F9" s="1"/>
      <c r="G9" s="7" t="str">
        <f>IF(E9="","",IF(E9&gt;=#REF!,"PASS","FAIL"))</f>
        <v/>
      </c>
      <c r="H9" s="7" t="str">
        <f>IF(F9="","",IF(F9&gt;=#REF!,"PASS","FAIL"))</f>
        <v/>
      </c>
      <c r="I9" s="11"/>
    </row>
    <row r="10" spans="1:9" x14ac:dyDescent="0.3">
      <c r="A10" s="11"/>
      <c r="B10" s="13" t="str">
        <f>IFERROR(INDEX('Experiment Log'!$B$2:$B$15,MATCH(A10,'Experiment Log'!$A$2:$A$15,0)),"")</f>
        <v/>
      </c>
      <c r="C10" s="11"/>
      <c r="D10" s="13" t="str">
        <f>IFERROR(INDEX('Golden Test Cases'!$B$2:$B$41,MATCH(C10,'Golden Test Cases'!$A$2:$A$41,0)),"")</f>
        <v/>
      </c>
      <c r="E10" s="1"/>
      <c r="F10" s="1"/>
      <c r="G10" s="7" t="str">
        <f>IF(E10="","",IF(E10&gt;=#REF!,"PASS","FAIL"))</f>
        <v/>
      </c>
      <c r="H10" s="7" t="str">
        <f>IF(F10="","",IF(F10&gt;=#REF!,"PASS","FAIL"))</f>
        <v/>
      </c>
      <c r="I10" s="11"/>
    </row>
    <row r="11" spans="1:9" x14ac:dyDescent="0.3">
      <c r="A11" s="11"/>
      <c r="B11" s="13" t="str">
        <f>IFERROR(INDEX('Experiment Log'!$B$2:$B$15,MATCH(A11,'Experiment Log'!$A$2:$A$15,0)),"")</f>
        <v/>
      </c>
      <c r="C11" s="11"/>
      <c r="D11" s="13" t="str">
        <f>IFERROR(INDEX('Golden Test Cases'!$B$2:$B$41,MATCH(C11,'Golden Test Cases'!$A$2:$A$41,0)),"")</f>
        <v/>
      </c>
      <c r="E11" s="1"/>
      <c r="F11" s="1"/>
      <c r="G11" s="7" t="str">
        <f>IF(E11="","",IF(E11&gt;=#REF!,"PASS","FAIL"))</f>
        <v/>
      </c>
      <c r="H11" s="7" t="str">
        <f>IF(F11="","",IF(F11&gt;=#REF!,"PASS","FAIL"))</f>
        <v/>
      </c>
      <c r="I11" s="11"/>
    </row>
    <row r="12" spans="1:9" x14ac:dyDescent="0.3">
      <c r="A12" s="11"/>
      <c r="B12" s="13" t="str">
        <f>IFERROR(INDEX('Experiment Log'!$B$2:$B$15,MATCH(A12,'Experiment Log'!$A$2:$A$15,0)),"")</f>
        <v/>
      </c>
      <c r="C12" s="11"/>
      <c r="D12" s="13" t="str">
        <f>IFERROR(INDEX('Golden Test Cases'!$B$2:$B$41,MATCH(C12,'Golden Test Cases'!$A$2:$A$41,0)),"")</f>
        <v/>
      </c>
      <c r="E12" s="1"/>
      <c r="F12" s="1"/>
      <c r="G12" s="7" t="str">
        <f>IF(E12="","",IF(E12&gt;=#REF!,"PASS","FAIL"))</f>
        <v/>
      </c>
      <c r="H12" s="7" t="str">
        <f>IF(F12="","",IF(F12&gt;=#REF!,"PASS","FAIL"))</f>
        <v/>
      </c>
      <c r="I12" s="11"/>
    </row>
    <row r="13" spans="1:9" x14ac:dyDescent="0.3">
      <c r="A13" s="11"/>
      <c r="B13" s="13" t="str">
        <f>IFERROR(INDEX('Experiment Log'!$B$2:$B$15,MATCH(A13,'Experiment Log'!$A$2:$A$15,0)),"")</f>
        <v/>
      </c>
      <c r="C13" s="11"/>
      <c r="D13" s="13" t="str">
        <f>IFERROR(INDEX('Golden Test Cases'!$B$2:$B$41,MATCH(C13,'Golden Test Cases'!$A$2:$A$41,0)),"")</f>
        <v/>
      </c>
      <c r="E13" s="1"/>
      <c r="F13" s="1"/>
      <c r="G13" s="7" t="str">
        <f>IF(E13="","",IF(E13&gt;=#REF!,"PASS","FAIL"))</f>
        <v/>
      </c>
      <c r="H13" s="7" t="str">
        <f>IF(F13="","",IF(F13&gt;=#REF!,"PASS","FAIL"))</f>
        <v/>
      </c>
      <c r="I13" s="11"/>
    </row>
    <row r="14" spans="1:9" x14ac:dyDescent="0.3">
      <c r="A14" s="11"/>
      <c r="B14" s="13" t="str">
        <f>IFERROR(INDEX('Experiment Log'!$B$2:$B$15,MATCH(A14,'Experiment Log'!$A$2:$A$15,0)),"")</f>
        <v/>
      </c>
      <c r="C14" s="11"/>
      <c r="D14" s="13" t="str">
        <f>IFERROR(INDEX('Golden Test Cases'!$B$2:$B$41,MATCH(C14,'Golden Test Cases'!$A$2:$A$41,0)),"")</f>
        <v/>
      </c>
      <c r="E14" s="1"/>
      <c r="F14" s="1"/>
      <c r="G14" s="7" t="str">
        <f>IF(E14="","",IF(E14&gt;=#REF!,"PASS","FAIL"))</f>
        <v/>
      </c>
      <c r="H14" s="7" t="str">
        <f>IF(F14="","",IF(F14&gt;=#REF!,"PASS","FAIL"))</f>
        <v/>
      </c>
      <c r="I14" s="11"/>
    </row>
    <row r="15" spans="1:9" x14ac:dyDescent="0.3">
      <c r="A15" s="11"/>
      <c r="B15" s="13" t="str">
        <f>IFERROR(INDEX('Experiment Log'!$B$2:$B$15,MATCH(A15,'Experiment Log'!$A$2:$A$15,0)),"")</f>
        <v/>
      </c>
      <c r="C15" s="11"/>
      <c r="D15" s="13" t="str">
        <f>IFERROR(INDEX('Golden Test Cases'!$B$2:$B$41,MATCH(C15,'Golden Test Cases'!$A$2:$A$41,0)),"")</f>
        <v/>
      </c>
      <c r="E15" s="1"/>
      <c r="F15" s="1"/>
      <c r="G15" s="7" t="str">
        <f>IF(E15="","",IF(E15&gt;=#REF!,"PASS","FAIL"))</f>
        <v/>
      </c>
      <c r="H15" s="7" t="str">
        <f>IF(F15="","",IF(F15&gt;=#REF!,"PASS","FAIL"))</f>
        <v/>
      </c>
      <c r="I15" s="11"/>
    </row>
    <row r="16" spans="1:9" x14ac:dyDescent="0.3">
      <c r="A16" s="11"/>
      <c r="B16" s="13" t="str">
        <f>IFERROR(INDEX('Experiment Log'!$B$2:$B$15,MATCH(A16,'Experiment Log'!$A$2:$A$15,0)),"")</f>
        <v/>
      </c>
      <c r="C16" s="11"/>
      <c r="D16" s="13" t="str">
        <f>IFERROR(INDEX('Golden Test Cases'!$B$2:$B$41,MATCH(C16,'Golden Test Cases'!$A$2:$A$41,0)),"")</f>
        <v/>
      </c>
      <c r="E16" s="1"/>
      <c r="F16" s="1"/>
      <c r="G16" s="7" t="str">
        <f>IF(E16="","",IF(E16&gt;=#REF!,"PASS","FAIL"))</f>
        <v/>
      </c>
      <c r="H16" s="7" t="str">
        <f>IF(F16="","",IF(F16&gt;=#REF!,"PASS","FAIL"))</f>
        <v/>
      </c>
      <c r="I16" s="11"/>
    </row>
    <row r="17" spans="1:9" x14ac:dyDescent="0.3">
      <c r="A17" s="11"/>
      <c r="B17" s="13" t="str">
        <f>IFERROR(INDEX('Experiment Log'!$B$2:$B$15,MATCH(A17,'Experiment Log'!$A$2:$A$15,0)),"")</f>
        <v/>
      </c>
      <c r="C17" s="11"/>
      <c r="D17" s="13" t="str">
        <f>IFERROR(INDEX('Golden Test Cases'!$B$2:$B$41,MATCH(C17,'Golden Test Cases'!$A$2:$A$41,0)),"")</f>
        <v/>
      </c>
      <c r="E17" s="1"/>
      <c r="F17" s="1"/>
      <c r="G17" s="7" t="str">
        <f>IF(E17="","",IF(E17&gt;=#REF!,"PASS","FAIL"))</f>
        <v/>
      </c>
      <c r="H17" s="7" t="str">
        <f>IF(F17="","",IF(F17&gt;=#REF!,"PASS","FAIL"))</f>
        <v/>
      </c>
      <c r="I17" s="11"/>
    </row>
    <row r="18" spans="1:9" x14ac:dyDescent="0.3">
      <c r="A18" s="11"/>
      <c r="B18" s="13" t="str">
        <f>IFERROR(INDEX('Experiment Log'!$B$2:$B$15,MATCH(A18,'Experiment Log'!$A$2:$A$15,0)),"")</f>
        <v/>
      </c>
      <c r="C18" s="11"/>
      <c r="D18" s="13" t="str">
        <f>IFERROR(INDEX('Golden Test Cases'!$B$2:$B$41,MATCH(C18,'Golden Test Cases'!$A$2:$A$41,0)),"")</f>
        <v/>
      </c>
      <c r="E18" s="1"/>
      <c r="F18" s="1"/>
      <c r="G18" s="7" t="str">
        <f>IF(E18="","",IF(E18&gt;=#REF!,"PASS","FAIL"))</f>
        <v/>
      </c>
      <c r="H18" s="7" t="str">
        <f>IF(F18="","",IF(F18&gt;=#REF!,"PASS","FAIL"))</f>
        <v/>
      </c>
      <c r="I18" s="11"/>
    </row>
    <row r="19" spans="1:9" x14ac:dyDescent="0.3">
      <c r="A19" s="11"/>
      <c r="B19" s="13" t="str">
        <f>IFERROR(INDEX('Experiment Log'!$B$2:$B$15,MATCH(A19,'Experiment Log'!$A$2:$A$15,0)),"")</f>
        <v/>
      </c>
      <c r="C19" s="11"/>
      <c r="D19" s="13" t="str">
        <f>IFERROR(INDEX('Golden Test Cases'!$B$2:$B$41,MATCH(C19,'Golden Test Cases'!$A$2:$A$41,0)),"")</f>
        <v/>
      </c>
      <c r="E19" s="1"/>
      <c r="F19" s="1"/>
      <c r="G19" s="7" t="str">
        <f>IF(E19="","",IF(E19&gt;=#REF!,"PASS","FAIL"))</f>
        <v/>
      </c>
      <c r="H19" s="7" t="str">
        <f>IF(F19="","",IF(F19&gt;=#REF!,"PASS","FAIL"))</f>
        <v/>
      </c>
      <c r="I19" s="11"/>
    </row>
    <row r="20" spans="1:9" x14ac:dyDescent="0.3">
      <c r="A20" s="11"/>
      <c r="B20" s="13" t="str">
        <f>IFERROR(INDEX('Experiment Log'!$B$2:$B$15,MATCH(A20,'Experiment Log'!$A$2:$A$15,0)),"")</f>
        <v/>
      </c>
      <c r="C20" s="11"/>
      <c r="D20" s="13" t="str">
        <f>IFERROR(INDEX('Golden Test Cases'!$B$2:$B$41,MATCH(C20,'Golden Test Cases'!$A$2:$A$41,0)),"")</f>
        <v/>
      </c>
      <c r="E20" s="1"/>
      <c r="F20" s="1"/>
      <c r="G20" s="7" t="str">
        <f>IF(E20="","",IF(E20&gt;=#REF!,"PASS","FAIL"))</f>
        <v/>
      </c>
      <c r="H20" s="7" t="str">
        <f>IF(F20="","",IF(F20&gt;=#REF!,"PASS","FAIL"))</f>
        <v/>
      </c>
      <c r="I20" s="11"/>
    </row>
    <row r="21" spans="1:9" x14ac:dyDescent="0.3">
      <c r="A21" s="11"/>
      <c r="B21" s="13" t="str">
        <f>IFERROR(INDEX('Experiment Log'!$B$2:$B$15,MATCH(A21,'Experiment Log'!$A$2:$A$15,0)),"")</f>
        <v/>
      </c>
      <c r="C21" s="11"/>
      <c r="D21" s="13" t="str">
        <f>IFERROR(INDEX('Golden Test Cases'!$B$2:$B$41,MATCH(C21,'Golden Test Cases'!$A$2:$A$41,0)),"")</f>
        <v/>
      </c>
      <c r="E21" s="1"/>
      <c r="F21" s="1"/>
      <c r="G21" s="7" t="str">
        <f>IF(E21="","",IF(E21&gt;=#REF!,"PASS","FAIL"))</f>
        <v/>
      </c>
      <c r="H21" s="7" t="str">
        <f>IF(F21="","",IF(F21&gt;=#REF!,"PASS","FAIL"))</f>
        <v/>
      </c>
      <c r="I21" s="11"/>
    </row>
    <row r="22" spans="1:9" x14ac:dyDescent="0.3">
      <c r="A22" s="11"/>
      <c r="B22" s="13" t="str">
        <f>IFERROR(INDEX('Experiment Log'!$B$2:$B$15,MATCH(A22,'Experiment Log'!$A$2:$A$15,0)),"")</f>
        <v/>
      </c>
      <c r="C22" s="11"/>
      <c r="D22" s="13" t="str">
        <f>IFERROR(INDEX('Golden Test Cases'!$B$2:$B$41,MATCH(C22,'Golden Test Cases'!$A$2:$A$41,0)),"")</f>
        <v/>
      </c>
      <c r="E22" s="1"/>
      <c r="F22" s="1"/>
      <c r="G22" s="7" t="str">
        <f>IF(E22="","",IF(E22&gt;=#REF!,"PASS","FAIL"))</f>
        <v/>
      </c>
      <c r="H22" s="7" t="str">
        <f>IF(F22="","",IF(F22&gt;=#REF!,"PASS","FAIL"))</f>
        <v/>
      </c>
      <c r="I22" s="11"/>
    </row>
    <row r="23" spans="1:9" x14ac:dyDescent="0.3">
      <c r="A23" s="11"/>
      <c r="B23" s="13" t="str">
        <f>IFERROR(INDEX('Experiment Log'!$B$2:$B$15,MATCH(A23,'Experiment Log'!$A$2:$A$15,0)),"")</f>
        <v/>
      </c>
      <c r="C23" s="11"/>
      <c r="D23" s="13" t="str">
        <f>IFERROR(INDEX('Golden Test Cases'!$B$2:$B$41,MATCH(C23,'Golden Test Cases'!$A$2:$A$41,0)),"")</f>
        <v/>
      </c>
      <c r="E23" s="1"/>
      <c r="F23" s="1"/>
      <c r="G23" s="7" t="str">
        <f>IF(E23="","",IF(E23&gt;=#REF!,"PASS","FAIL"))</f>
        <v/>
      </c>
      <c r="H23" s="7" t="str">
        <f>IF(F23="","",IF(F23&gt;=#REF!,"PASS","FAIL"))</f>
        <v/>
      </c>
      <c r="I23" s="11"/>
    </row>
    <row r="24" spans="1:9" x14ac:dyDescent="0.3">
      <c r="A24" s="11"/>
      <c r="B24" s="13" t="str">
        <f>IFERROR(INDEX('Experiment Log'!$B$2:$B$15,MATCH(A24,'Experiment Log'!$A$2:$A$15,0)),"")</f>
        <v/>
      </c>
      <c r="C24" s="11"/>
      <c r="D24" s="13" t="str">
        <f>IFERROR(INDEX('Golden Test Cases'!$B$2:$B$41,MATCH(C24,'Golden Test Cases'!$A$2:$A$41,0)),"")</f>
        <v/>
      </c>
      <c r="E24" s="1"/>
      <c r="F24" s="1"/>
      <c r="G24" s="7" t="str">
        <f>IF(E24="","",IF(E24&gt;=#REF!,"PASS","FAIL"))</f>
        <v/>
      </c>
      <c r="H24" s="7" t="str">
        <f>IF(F24="","",IF(F24&gt;=#REF!,"PASS","FAIL"))</f>
        <v/>
      </c>
      <c r="I24" s="11"/>
    </row>
    <row r="25" spans="1:9" x14ac:dyDescent="0.3">
      <c r="A25" s="11"/>
      <c r="B25" s="13" t="str">
        <f>IFERROR(INDEX('Experiment Log'!$B$2:$B$15,MATCH(A25,'Experiment Log'!$A$2:$A$15,0)),"")</f>
        <v/>
      </c>
      <c r="C25" s="11"/>
      <c r="D25" s="13" t="str">
        <f>IFERROR(INDEX('Golden Test Cases'!$B$2:$B$41,MATCH(C25,'Golden Test Cases'!$A$2:$A$41,0)),"")</f>
        <v/>
      </c>
      <c r="E25" s="1"/>
      <c r="F25" s="1"/>
      <c r="G25" s="7" t="str">
        <f>IF(E25="","",IF(E25&gt;=#REF!,"PASS","FAIL"))</f>
        <v/>
      </c>
      <c r="H25" s="7" t="str">
        <f>IF(F25="","",IF(F25&gt;=#REF!,"PASS","FAIL"))</f>
        <v/>
      </c>
      <c r="I25" s="11"/>
    </row>
    <row r="26" spans="1:9" x14ac:dyDescent="0.3">
      <c r="A26" s="11"/>
      <c r="B26" s="13" t="str">
        <f>IFERROR(INDEX('Experiment Log'!$B$2:$B$15,MATCH(A26,'Experiment Log'!$A$2:$A$15,0)),"")</f>
        <v/>
      </c>
      <c r="C26" s="11"/>
      <c r="D26" s="13" t="str">
        <f>IFERROR(INDEX('Golden Test Cases'!$B$2:$B$41,MATCH(C26,'Golden Test Cases'!$A$2:$A$41,0)),"")</f>
        <v/>
      </c>
      <c r="E26" s="1"/>
      <c r="F26" s="1"/>
      <c r="G26" s="7" t="str">
        <f>IF(E26="","",IF(E26&gt;=#REF!,"PASS","FAIL"))</f>
        <v/>
      </c>
      <c r="H26" s="7" t="str">
        <f>IF(F26="","",IF(F26&gt;=#REF!,"PASS","FAIL"))</f>
        <v/>
      </c>
      <c r="I26" s="11"/>
    </row>
    <row r="27" spans="1:9" x14ac:dyDescent="0.3">
      <c r="A27" s="11"/>
      <c r="B27" s="13" t="str">
        <f>IFERROR(INDEX('Experiment Log'!$B$2:$B$15,MATCH(A27,'Experiment Log'!$A$2:$A$15,0)),"")</f>
        <v/>
      </c>
      <c r="C27" s="11"/>
      <c r="D27" s="13" t="str">
        <f>IFERROR(INDEX('Golden Test Cases'!$B$2:$B$41,MATCH(C27,'Golden Test Cases'!$A$2:$A$41,0)),"")</f>
        <v/>
      </c>
      <c r="E27" s="1"/>
      <c r="F27" s="1"/>
      <c r="G27" s="7" t="str">
        <f>IF(E27="","",IF(E27&gt;=#REF!,"PASS","FAIL"))</f>
        <v/>
      </c>
      <c r="H27" s="7" t="str">
        <f>IF(F27="","",IF(F27&gt;=#REF!,"PASS","FAIL"))</f>
        <v/>
      </c>
      <c r="I27" s="11"/>
    </row>
    <row r="28" spans="1:9" x14ac:dyDescent="0.3">
      <c r="A28" s="11"/>
      <c r="B28" s="13" t="str">
        <f>IFERROR(INDEX('Experiment Log'!$B$2:$B$15,MATCH(A28,'Experiment Log'!$A$2:$A$15,0)),"")</f>
        <v/>
      </c>
      <c r="C28" s="11"/>
      <c r="D28" s="13" t="str">
        <f>IFERROR(INDEX('Golden Test Cases'!$B$2:$B$41,MATCH(C28,'Golden Test Cases'!$A$2:$A$41,0)),"")</f>
        <v/>
      </c>
      <c r="E28" s="1"/>
      <c r="F28" s="1"/>
      <c r="G28" s="7" t="str">
        <f>IF(E28="","",IF(E28&gt;=#REF!,"PASS","FAIL"))</f>
        <v/>
      </c>
      <c r="H28" s="7" t="str">
        <f>IF(F28="","",IF(F28&gt;=#REF!,"PASS","FAIL"))</f>
        <v/>
      </c>
      <c r="I28" s="11"/>
    </row>
    <row r="29" spans="1:9" x14ac:dyDescent="0.3">
      <c r="A29" s="11"/>
      <c r="B29" s="13" t="str">
        <f>IFERROR(INDEX('Experiment Log'!$B$2:$B$15,MATCH(A29,'Experiment Log'!$A$2:$A$15,0)),"")</f>
        <v/>
      </c>
      <c r="C29" s="11"/>
      <c r="D29" s="13" t="str">
        <f>IFERROR(INDEX('Golden Test Cases'!$B$2:$B$41,MATCH(C29,'Golden Test Cases'!$A$2:$A$41,0)),"")</f>
        <v/>
      </c>
      <c r="E29" s="1"/>
      <c r="F29" s="1"/>
      <c r="G29" s="7" t="str">
        <f>IF(E29="","",IF(E29&gt;=#REF!,"PASS","FAIL"))</f>
        <v/>
      </c>
      <c r="H29" s="7" t="str">
        <f>IF(F29="","",IF(F29&gt;=#REF!,"PASS","FAIL"))</f>
        <v/>
      </c>
      <c r="I29" s="11"/>
    </row>
    <row r="30" spans="1:9" x14ac:dyDescent="0.3">
      <c r="A30" s="11"/>
      <c r="B30" s="13" t="str">
        <f>IFERROR(INDEX('Experiment Log'!$B$2:$B$15,MATCH(A30,'Experiment Log'!$A$2:$A$15,0)),"")</f>
        <v/>
      </c>
      <c r="C30" s="11"/>
      <c r="D30" s="13" t="str">
        <f>IFERROR(INDEX('Golden Test Cases'!$B$2:$B$41,MATCH(C30,'Golden Test Cases'!$A$2:$A$41,0)),"")</f>
        <v/>
      </c>
      <c r="E30" s="1"/>
      <c r="F30" s="1"/>
      <c r="G30" s="7" t="str">
        <f>IF(E30="","",IF(E30&gt;=#REF!,"PASS","FAIL"))</f>
        <v/>
      </c>
      <c r="H30" s="7" t="str">
        <f>IF(F30="","",IF(F30&gt;=#REF!,"PASS","FAIL"))</f>
        <v/>
      </c>
      <c r="I30" s="11"/>
    </row>
    <row r="31" spans="1:9" x14ac:dyDescent="0.3">
      <c r="A31" s="11"/>
      <c r="B31" s="13" t="str">
        <f>IFERROR(INDEX('Experiment Log'!$B$2:$B$15,MATCH(A31,'Experiment Log'!$A$2:$A$15,0)),"")</f>
        <v/>
      </c>
      <c r="C31" s="11"/>
      <c r="D31" s="13" t="str">
        <f>IFERROR(INDEX('Golden Test Cases'!$B$2:$B$41,MATCH(C31,'Golden Test Cases'!$A$2:$A$41,0)),"")</f>
        <v/>
      </c>
      <c r="E31" s="1"/>
      <c r="F31" s="1"/>
      <c r="G31" s="7" t="str">
        <f>IF(E31="","",IF(E31&gt;=#REF!,"PASS","FAIL"))</f>
        <v/>
      </c>
      <c r="H31" s="7" t="str">
        <f>IF(F31="","",IF(F31&gt;=#REF!,"PASS","FAIL"))</f>
        <v/>
      </c>
      <c r="I31" s="11"/>
    </row>
  </sheetData>
  <conditionalFormatting sqref="G2:H31">
    <cfRule type="cellIs" dxfId="1" priority="2" operator="equal">
      <formula>"PASS"</formula>
    </cfRule>
    <cfRule type="cellIs" dxfId="0" priority="3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zoomScaleNormal="100" workbookViewId="0">
      <pane ySplit="1" topLeftCell="A15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46" customWidth="1"/>
    <col min="3" max="4" width="14" customWidth="1"/>
    <col min="5" max="5" width="55" customWidth="1"/>
    <col min="6" max="6" width="30" customWidth="1"/>
  </cols>
  <sheetData>
    <row r="1" spans="1:6" ht="19.5" customHeight="1" x14ac:dyDescent="0.3">
      <c r="A1" s="2" t="s">
        <v>48</v>
      </c>
      <c r="B1" s="2" t="s">
        <v>49</v>
      </c>
      <c r="C1" s="2" t="s">
        <v>57</v>
      </c>
      <c r="D1" s="2" t="s">
        <v>58</v>
      </c>
      <c r="E1" s="2" t="s">
        <v>59</v>
      </c>
      <c r="F1" s="2" t="s">
        <v>54</v>
      </c>
    </row>
    <row r="2" spans="1:6" x14ac:dyDescent="0.3">
      <c r="A2" s="14">
        <v>1</v>
      </c>
      <c r="B2" s="15"/>
      <c r="C2" s="16"/>
      <c r="D2" s="16"/>
      <c r="E2" s="15"/>
      <c r="F2" s="15"/>
    </row>
    <row r="3" spans="1:6" x14ac:dyDescent="0.3">
      <c r="A3" s="14">
        <v>2</v>
      </c>
      <c r="B3" s="15"/>
      <c r="C3" s="16"/>
      <c r="D3" s="16"/>
      <c r="E3" s="15"/>
      <c r="F3" s="15"/>
    </row>
    <row r="4" spans="1:6" x14ac:dyDescent="0.3">
      <c r="A4" s="14">
        <v>3</v>
      </c>
      <c r="B4" s="15"/>
      <c r="C4" s="16"/>
      <c r="D4" s="16"/>
      <c r="E4" s="15"/>
      <c r="F4" s="15"/>
    </row>
    <row r="5" spans="1:6" x14ac:dyDescent="0.3">
      <c r="A5" s="14">
        <v>4</v>
      </c>
      <c r="B5" s="15"/>
      <c r="C5" s="16"/>
      <c r="D5" s="16"/>
      <c r="E5" s="15"/>
      <c r="F5" s="15"/>
    </row>
    <row r="6" spans="1:6" x14ac:dyDescent="0.3">
      <c r="A6" s="14">
        <v>5</v>
      </c>
      <c r="B6" s="15"/>
      <c r="C6" s="16"/>
      <c r="D6" s="16"/>
      <c r="E6" s="15"/>
      <c r="F6" s="15"/>
    </row>
    <row r="7" spans="1:6" x14ac:dyDescent="0.3">
      <c r="A7" s="14">
        <v>6</v>
      </c>
      <c r="B7" s="15"/>
      <c r="C7" s="16"/>
      <c r="D7" s="16"/>
      <c r="E7" s="15"/>
      <c r="F7" s="15"/>
    </row>
    <row r="8" spans="1:6" x14ac:dyDescent="0.3">
      <c r="A8" s="14">
        <v>7</v>
      </c>
      <c r="B8" s="15"/>
      <c r="C8" s="16"/>
      <c r="D8" s="16"/>
      <c r="E8" s="15"/>
      <c r="F8" s="15"/>
    </row>
    <row r="9" spans="1:6" x14ac:dyDescent="0.3">
      <c r="A9" s="14">
        <v>8</v>
      </c>
      <c r="B9" s="15"/>
      <c r="C9" s="16"/>
      <c r="D9" s="16"/>
      <c r="E9" s="15"/>
      <c r="F9" s="15"/>
    </row>
    <row r="10" spans="1:6" x14ac:dyDescent="0.3">
      <c r="A10" s="14">
        <v>9</v>
      </c>
      <c r="B10" s="15"/>
      <c r="C10" s="16"/>
      <c r="D10" s="16"/>
      <c r="E10" s="15"/>
      <c r="F10" s="15"/>
    </row>
    <row r="11" spans="1:6" x14ac:dyDescent="0.3">
      <c r="A11" s="14">
        <v>10</v>
      </c>
      <c r="B11" s="15"/>
      <c r="C11" s="16"/>
      <c r="D11" s="16"/>
      <c r="E11" s="15"/>
      <c r="F11" s="15"/>
    </row>
    <row r="12" spans="1:6" x14ac:dyDescent="0.3">
      <c r="A12" s="14">
        <v>11</v>
      </c>
      <c r="B12" s="15"/>
      <c r="C12" s="16"/>
      <c r="D12" s="16"/>
      <c r="E12" s="15"/>
      <c r="F12" s="15"/>
    </row>
    <row r="13" spans="1:6" x14ac:dyDescent="0.3">
      <c r="A13" s="14">
        <v>12</v>
      </c>
      <c r="B13" s="15"/>
      <c r="C13" s="16"/>
      <c r="D13" s="16"/>
      <c r="E13" s="15"/>
      <c r="F13" s="15"/>
    </row>
    <row r="14" spans="1:6" x14ac:dyDescent="0.3">
      <c r="A14" s="14">
        <v>13</v>
      </c>
      <c r="B14" s="15"/>
      <c r="C14" s="16"/>
      <c r="D14" s="16"/>
      <c r="E14" s="15"/>
      <c r="F14" s="15"/>
    </row>
    <row r="15" spans="1:6" x14ac:dyDescent="0.3">
      <c r="A15" s="14">
        <v>14</v>
      </c>
      <c r="B15" s="15"/>
      <c r="C15" s="16"/>
      <c r="D15" s="16"/>
      <c r="E15" s="15"/>
      <c r="F15" s="15"/>
    </row>
    <row r="16" spans="1:6" x14ac:dyDescent="0.3">
      <c r="A16" s="14">
        <v>15</v>
      </c>
      <c r="B16" s="15"/>
      <c r="C16" s="16"/>
      <c r="D16" s="16"/>
      <c r="E16" s="15"/>
      <c r="F16" s="15"/>
    </row>
    <row r="17" spans="1:6" x14ac:dyDescent="0.3">
      <c r="A17" s="14">
        <v>16</v>
      </c>
      <c r="B17" s="15"/>
      <c r="C17" s="16"/>
      <c r="D17" s="16"/>
      <c r="E17" s="15"/>
      <c r="F17" s="15"/>
    </row>
    <row r="18" spans="1:6" x14ac:dyDescent="0.3">
      <c r="A18" s="14">
        <v>17</v>
      </c>
      <c r="B18" s="15"/>
      <c r="C18" s="16"/>
      <c r="D18" s="16"/>
      <c r="E18" s="15"/>
      <c r="F18" s="15"/>
    </row>
    <row r="19" spans="1:6" x14ac:dyDescent="0.3">
      <c r="A19" s="14">
        <v>18</v>
      </c>
      <c r="B19" s="15"/>
      <c r="C19" s="16"/>
      <c r="D19" s="16"/>
      <c r="E19" s="15"/>
      <c r="F19" s="15"/>
    </row>
    <row r="20" spans="1:6" x14ac:dyDescent="0.3">
      <c r="A20" s="14">
        <v>19</v>
      </c>
      <c r="B20" s="15"/>
      <c r="C20" s="16"/>
      <c r="D20" s="16"/>
      <c r="E20" s="15"/>
      <c r="F20" s="15"/>
    </row>
    <row r="21" spans="1:6" x14ac:dyDescent="0.3">
      <c r="A21" s="14">
        <v>20</v>
      </c>
      <c r="B21" s="15"/>
      <c r="C21" s="16"/>
      <c r="D21" s="16"/>
      <c r="E21" s="15"/>
      <c r="F21" s="15"/>
    </row>
    <row r="22" spans="1:6" x14ac:dyDescent="0.3">
      <c r="A22" s="14">
        <v>21</v>
      </c>
      <c r="B22" s="15"/>
      <c r="C22" s="16"/>
      <c r="D22" s="16"/>
      <c r="E22" s="15"/>
      <c r="F22" s="15"/>
    </row>
    <row r="23" spans="1:6" x14ac:dyDescent="0.3">
      <c r="A23" s="14">
        <v>22</v>
      </c>
      <c r="B23" s="15"/>
      <c r="C23" s="16"/>
      <c r="D23" s="16"/>
      <c r="E23" s="15"/>
      <c r="F23" s="15"/>
    </row>
    <row r="24" spans="1:6" x14ac:dyDescent="0.3">
      <c r="A24" s="14">
        <v>23</v>
      </c>
      <c r="B24" s="15"/>
      <c r="C24" s="16"/>
      <c r="D24" s="16"/>
      <c r="E24" s="15"/>
      <c r="F24" s="15"/>
    </row>
    <row r="25" spans="1:6" x14ac:dyDescent="0.3">
      <c r="A25" s="14">
        <v>24</v>
      </c>
      <c r="B25" s="15"/>
      <c r="C25" s="16"/>
      <c r="D25" s="16"/>
      <c r="E25" s="15"/>
      <c r="F25" s="15"/>
    </row>
    <row r="26" spans="1:6" ht="66" x14ac:dyDescent="0.3">
      <c r="A26" s="14">
        <v>25</v>
      </c>
      <c r="B26" s="15" t="s">
        <v>60</v>
      </c>
      <c r="C26" s="16" t="s">
        <v>61</v>
      </c>
      <c r="D26" s="16" t="s">
        <v>62</v>
      </c>
      <c r="E26" s="15" t="s">
        <v>63</v>
      </c>
      <c r="F26" s="8" t="s">
        <v>64</v>
      </c>
    </row>
    <row r="27" spans="1:6" x14ac:dyDescent="0.3">
      <c r="A27" s="14">
        <v>26</v>
      </c>
      <c r="B27" s="15"/>
      <c r="C27" s="16"/>
      <c r="D27" s="16"/>
      <c r="E27" s="15"/>
      <c r="F27" s="15"/>
    </row>
    <row r="28" spans="1:6" x14ac:dyDescent="0.3">
      <c r="A28" s="14">
        <v>27</v>
      </c>
      <c r="B28" s="15"/>
      <c r="C28" s="16"/>
      <c r="D28" s="16"/>
      <c r="E28" s="15"/>
      <c r="F28" s="15"/>
    </row>
    <row r="29" spans="1:6" x14ac:dyDescent="0.3">
      <c r="A29" s="14">
        <v>28</v>
      </c>
      <c r="B29" s="15"/>
      <c r="C29" s="16"/>
      <c r="D29" s="16"/>
      <c r="E29" s="15"/>
      <c r="F29" s="15"/>
    </row>
    <row r="30" spans="1:6" x14ac:dyDescent="0.3">
      <c r="A30" s="14">
        <v>29</v>
      </c>
      <c r="B30" s="15"/>
      <c r="C30" s="16"/>
      <c r="D30" s="16"/>
      <c r="E30" s="15"/>
      <c r="F30" s="15"/>
    </row>
    <row r="31" spans="1:6" x14ac:dyDescent="0.3">
      <c r="A31" s="14">
        <v>30</v>
      </c>
      <c r="B31" s="15"/>
      <c r="C31" s="16"/>
      <c r="D31" s="16"/>
      <c r="E31" s="15"/>
      <c r="F31" s="15"/>
    </row>
    <row r="32" spans="1:6" x14ac:dyDescent="0.3">
      <c r="A32" s="14">
        <v>31</v>
      </c>
      <c r="B32" s="15"/>
      <c r="C32" s="16"/>
      <c r="D32" s="16"/>
      <c r="E32" s="15"/>
      <c r="F32" s="15"/>
    </row>
    <row r="33" spans="1:6" x14ac:dyDescent="0.3">
      <c r="A33" s="14">
        <v>32</v>
      </c>
      <c r="B33" s="15"/>
      <c r="C33" s="16"/>
      <c r="D33" s="16"/>
      <c r="E33" s="15"/>
      <c r="F33" s="15"/>
    </row>
    <row r="34" spans="1:6" x14ac:dyDescent="0.3">
      <c r="A34" s="14">
        <v>33</v>
      </c>
      <c r="B34" s="15"/>
      <c r="C34" s="16"/>
      <c r="D34" s="16"/>
      <c r="E34" s="15"/>
      <c r="F34" s="15"/>
    </row>
    <row r="35" spans="1:6" x14ac:dyDescent="0.3">
      <c r="A35" s="14">
        <v>34</v>
      </c>
      <c r="B35" s="15"/>
      <c r="C35" s="16"/>
      <c r="D35" s="16"/>
      <c r="E35" s="15"/>
      <c r="F35" s="15"/>
    </row>
    <row r="36" spans="1:6" x14ac:dyDescent="0.3">
      <c r="A36" s="14">
        <v>35</v>
      </c>
      <c r="B36" s="15"/>
      <c r="C36" s="16"/>
      <c r="D36" s="16"/>
      <c r="E36" s="15"/>
      <c r="F36" s="15"/>
    </row>
    <row r="37" spans="1:6" x14ac:dyDescent="0.3">
      <c r="A37" s="14">
        <v>36</v>
      </c>
      <c r="B37" s="15"/>
      <c r="C37" s="16"/>
      <c r="D37" s="16"/>
      <c r="E37" s="15"/>
      <c r="F37" s="15"/>
    </row>
    <row r="38" spans="1:6" x14ac:dyDescent="0.3">
      <c r="A38" s="14">
        <v>37</v>
      </c>
      <c r="B38" s="15"/>
      <c r="C38" s="16"/>
      <c r="D38" s="16"/>
      <c r="E38" s="15"/>
      <c r="F38" s="15"/>
    </row>
    <row r="39" spans="1:6" x14ac:dyDescent="0.3">
      <c r="A39" s="14">
        <v>38</v>
      </c>
      <c r="B39" s="15"/>
      <c r="C39" s="16"/>
      <c r="D39" s="16"/>
      <c r="E39" s="15"/>
      <c r="F39" s="15"/>
    </row>
    <row r="40" spans="1:6" x14ac:dyDescent="0.3">
      <c r="A40" s="14">
        <v>39</v>
      </c>
      <c r="B40" s="15"/>
      <c r="C40" s="16"/>
      <c r="D40" s="16"/>
      <c r="E40" s="15"/>
      <c r="F40" s="15"/>
    </row>
    <row r="41" spans="1:6" x14ac:dyDescent="0.3">
      <c r="A41" s="14">
        <v>40</v>
      </c>
      <c r="B41" s="15"/>
      <c r="C41" s="16"/>
      <c r="D41" s="16"/>
      <c r="E41" s="15"/>
      <c r="F41" s="15"/>
    </row>
  </sheetData>
  <dataValidations count="2">
    <dataValidation type="list" allowBlank="1" sqref="C2:C41" xr:uid="{00000000-0002-0000-0300-000000000000}">
      <formula1>"two_wheeler,car,home,travel"</formula1>
      <formula2>0</formula2>
    </dataValidation>
    <dataValidation type="list" allowBlank="1" sqref="D2:D41" xr:uid="{00000000-0002-0000-0300-000001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 Log</vt:lpstr>
      <vt:lpstr>Case-Level Tracking</vt:lpstr>
      <vt:lpstr>Golden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Shrinivas Patil</cp:lastModifiedBy>
  <cp:revision>0</cp:revision>
  <dcterms:created xsi:type="dcterms:W3CDTF">2026-08-22T19:00:18Z</dcterms:created>
  <dcterms:modified xsi:type="dcterms:W3CDTF">2026-08-30T04:56:19Z</dcterms:modified>
  <dc:language>en-US</dc:language>
</cp:coreProperties>
</file>